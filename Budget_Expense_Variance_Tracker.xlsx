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852d21372656991/Desktop/Documents/"/>
    </mc:Choice>
  </mc:AlternateContent>
  <xr:revisionPtr revIDLastSave="358" documentId="8_{3B9D9AE3-5DB5-4690-AF2A-F80458161F41}" xr6:coauthVersionLast="47" xr6:coauthVersionMax="47" xr10:uidLastSave="{21B0CD76-2B4E-4676-8F4F-36A4FEF16F3F}"/>
  <bookViews>
    <workbookView xWindow="-90" yWindow="0" windowWidth="12980" windowHeight="13770" firstSheet="2" activeTab="2" xr2:uid="{A4A100F1-8B09-4425-A19C-8F8C6D3BE5F8}"/>
  </bookViews>
  <sheets>
    <sheet name="Transactions" sheetId="3" r:id="rId1"/>
    <sheet name="Summary" sheetId="2" r:id="rId2"/>
    <sheet name="Dashboard" sheetId="4" r:id="rId3"/>
    <sheet name="Pivot_Data" sheetId="6" r:id="rId4"/>
  </sheets>
  <calcPr calcId="191029"/>
  <pivotCaches>
    <pivotCache cacheId="7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8" i="2" l="1"/>
  <c r="B7" i="2"/>
  <c r="B6" i="2"/>
  <c r="B5" i="2"/>
  <c r="B4" i="2"/>
  <c r="B2" i="2"/>
  <c r="B3" i="2"/>
  <c r="F4" i="3"/>
  <c r="G4" i="3" s="1"/>
  <c r="F3" i="3"/>
  <c r="G3" i="3" s="1"/>
  <c r="F7" i="3"/>
  <c r="G7" i="3" s="1"/>
  <c r="F6" i="3"/>
  <c r="G6" i="3" s="1"/>
  <c r="F5" i="3"/>
  <c r="G5" i="3" s="1"/>
  <c r="F8" i="3"/>
  <c r="G8" i="3" s="1"/>
  <c r="F2" i="3"/>
  <c r="G2" i="3" s="1"/>
</calcChain>
</file>

<file path=xl/sharedStrings.xml><?xml version="1.0" encoding="utf-8"?>
<sst xmlns="http://schemas.openxmlformats.org/spreadsheetml/2006/main" count="66" uniqueCount="41">
  <si>
    <t>Date</t>
  </si>
  <si>
    <t>Category</t>
  </si>
  <si>
    <t>Description</t>
  </si>
  <si>
    <t>Budgeted Amount</t>
  </si>
  <si>
    <t>Actual Amount</t>
  </si>
  <si>
    <t>Variance</t>
  </si>
  <si>
    <t>Status</t>
  </si>
  <si>
    <t>Rent</t>
  </si>
  <si>
    <t>Payroll</t>
  </si>
  <si>
    <t>Utilities</t>
  </si>
  <si>
    <t>Software</t>
  </si>
  <si>
    <t>Marketing</t>
  </si>
  <si>
    <t>Supplies</t>
  </si>
  <si>
    <t>Revenue</t>
  </si>
  <si>
    <t>Monthly service revenue</t>
  </si>
  <si>
    <t>Office lease</t>
  </si>
  <si>
    <t>Staff payroll</t>
  </si>
  <si>
    <t>Internet/phone</t>
  </si>
  <si>
    <t>EVV system</t>
  </si>
  <si>
    <t>Office supplies</t>
  </si>
  <si>
    <t>TV ads</t>
  </si>
  <si>
    <t>Metric</t>
  </si>
  <si>
    <t>Amount</t>
  </si>
  <si>
    <t>Total Budgeted Revenue</t>
  </si>
  <si>
    <t>Total Actual Revenue</t>
  </si>
  <si>
    <t>Total Budget Expenses</t>
  </si>
  <si>
    <t>Total Actual Expenses</t>
  </si>
  <si>
    <t xml:space="preserve">Net Budgeted Profit </t>
  </si>
  <si>
    <t>Net Actual Profit</t>
  </si>
  <si>
    <t>Total Variance</t>
  </si>
  <si>
    <t>Grand Total</t>
  </si>
  <si>
    <t>Sum of Variance</t>
  </si>
  <si>
    <t>Budgeted</t>
  </si>
  <si>
    <t>Actual</t>
  </si>
  <si>
    <t>Actual Expense</t>
  </si>
  <si>
    <t>KPI</t>
  </si>
  <si>
    <t>Value</t>
  </si>
  <si>
    <t>Actual Revenue</t>
  </si>
  <si>
    <t>Actual Expenses</t>
  </si>
  <si>
    <t>Net Profit/Loss</t>
  </si>
  <si>
    <t xml:space="preserve">Total Variance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</si>
</sst>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44" fontId="0" fillId="0" borderId="0" xfId="1" applyFont="1"/>
    <xf numFmtId="44" fontId="0" fillId="0" borderId="0" xfId="0" applyNumberFormat="1"/>
    <xf numFmtId="44" fontId="0" fillId="0" borderId="0" xfId="1" applyFont="1" applyAlignment="1">
      <alignment horizontal="right"/>
    </xf>
  </cellXfs>
  <cellStyles count="2">
    <cellStyle name="Currency" xfId="1" builtinId="4"/>
    <cellStyle name="Normal" xfId="0" builtinId="0"/>
  </cellStyles>
  <dxfs count="15"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[Budget_Expense_Variance_Tracker.xlsx]Pivot_Data!PivotTable1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Budgeted vs. Actual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Pivot_Data!$B$1</c:f>
              <c:strCache>
                <c:ptCount val="1"/>
                <c:pt idx="0">
                  <c:v>Budgeted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Pivot_Data!$A$2:$A$9</c:f>
              <c:strCache>
                <c:ptCount val="7"/>
                <c:pt idx="0">
                  <c:v>Revenue</c:v>
                </c:pt>
                <c:pt idx="1">
                  <c:v>Marketing</c:v>
                </c:pt>
                <c:pt idx="2">
                  <c:v>Payroll</c:v>
                </c:pt>
                <c:pt idx="3">
                  <c:v>Rent</c:v>
                </c:pt>
                <c:pt idx="4">
                  <c:v>Software</c:v>
                </c:pt>
                <c:pt idx="5">
                  <c:v>Supplies</c:v>
                </c:pt>
                <c:pt idx="6">
                  <c:v>Utilities</c:v>
                </c:pt>
              </c:strCache>
            </c:strRef>
          </c:cat>
          <c:val>
            <c:numRef>
              <c:f>Pivot_Data!$B$2:$B$9</c:f>
              <c:numCache>
                <c:formatCode>_("$"* #,##0.00_);_("$"* \(#,##0.00\);_("$"* "-"??_);_(@_)</c:formatCode>
                <c:ptCount val="7"/>
                <c:pt idx="0">
                  <c:v>3200</c:v>
                </c:pt>
                <c:pt idx="1">
                  <c:v>1500</c:v>
                </c:pt>
                <c:pt idx="2">
                  <c:v>1900</c:v>
                </c:pt>
                <c:pt idx="3">
                  <c:v>600</c:v>
                </c:pt>
                <c:pt idx="4">
                  <c:v>100</c:v>
                </c:pt>
                <c:pt idx="5">
                  <c:v>75</c:v>
                </c:pt>
                <c:pt idx="6">
                  <c:v>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E8-4045-8732-207389554248}"/>
            </c:ext>
          </c:extLst>
        </c:ser>
        <c:ser>
          <c:idx val="1"/>
          <c:order val="1"/>
          <c:tx>
            <c:strRef>
              <c:f>Pivot_Data!$C$1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Pivot_Data!$A$2:$A$9</c:f>
              <c:strCache>
                <c:ptCount val="7"/>
                <c:pt idx="0">
                  <c:v>Revenue</c:v>
                </c:pt>
                <c:pt idx="1">
                  <c:v>Marketing</c:v>
                </c:pt>
                <c:pt idx="2">
                  <c:v>Payroll</c:v>
                </c:pt>
                <c:pt idx="3">
                  <c:v>Rent</c:v>
                </c:pt>
                <c:pt idx="4">
                  <c:v>Software</c:v>
                </c:pt>
                <c:pt idx="5">
                  <c:v>Supplies</c:v>
                </c:pt>
                <c:pt idx="6">
                  <c:v>Utilities</c:v>
                </c:pt>
              </c:strCache>
            </c:strRef>
          </c:cat>
          <c:val>
            <c:numRef>
              <c:f>Pivot_Data!$C$2:$C$9</c:f>
              <c:numCache>
                <c:formatCode>_("$"* #,##0.00_);_("$"* \(#,##0.00\);_("$"* "-"??_);_(@_)</c:formatCode>
                <c:ptCount val="7"/>
                <c:pt idx="0">
                  <c:v>3253</c:v>
                </c:pt>
                <c:pt idx="1">
                  <c:v>1465</c:v>
                </c:pt>
                <c:pt idx="2">
                  <c:v>1944</c:v>
                </c:pt>
                <c:pt idx="3">
                  <c:v>600</c:v>
                </c:pt>
                <c:pt idx="4">
                  <c:v>100</c:v>
                </c:pt>
                <c:pt idx="5">
                  <c:v>92</c:v>
                </c:pt>
                <c:pt idx="6">
                  <c:v>148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1E8-4045-8732-2073895542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76757247"/>
        <c:axId val="1076758687"/>
      </c:barChart>
      <c:catAx>
        <c:axId val="107675724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6758687"/>
        <c:crosses val="autoZero"/>
        <c:auto val="1"/>
        <c:lblAlgn val="ctr"/>
        <c:lblOffset val="100"/>
        <c:noMultiLvlLbl val="0"/>
      </c:catAx>
      <c:valAx>
        <c:axId val="1076758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6757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[Budget_Expense_Variance_Tracker.xlsx]Pivot_Data!PivotTable3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Actual Expenses by Category</a:t>
            </a:r>
          </a:p>
        </c:rich>
      </c:tx>
      <c:layout>
        <c:manualLayout>
          <c:xMode val="edge"/>
          <c:yMode val="edge"/>
          <c:x val="0.50331933508311455"/>
          <c:y val="6.842373869932924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Pivot_Data!$B$12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Pivot_Data!$A$13:$A$19</c:f>
              <c:strCache>
                <c:ptCount val="6"/>
                <c:pt idx="0">
                  <c:v>Marketing</c:v>
                </c:pt>
                <c:pt idx="1">
                  <c:v>Payroll</c:v>
                </c:pt>
                <c:pt idx="2">
                  <c:v>Rent</c:v>
                </c:pt>
                <c:pt idx="3">
                  <c:v>Software</c:v>
                </c:pt>
                <c:pt idx="4">
                  <c:v>Supplies</c:v>
                </c:pt>
                <c:pt idx="5">
                  <c:v>Utilities</c:v>
                </c:pt>
              </c:strCache>
            </c:strRef>
          </c:cat>
          <c:val>
            <c:numRef>
              <c:f>Pivot_Data!$B$13:$B$19</c:f>
              <c:numCache>
                <c:formatCode>_("$"* #,##0.00_);_("$"* \(#,##0.00\);_("$"* "-"??_);_(@_)</c:formatCode>
                <c:ptCount val="6"/>
                <c:pt idx="0">
                  <c:v>1465</c:v>
                </c:pt>
                <c:pt idx="1">
                  <c:v>1944</c:v>
                </c:pt>
                <c:pt idx="2">
                  <c:v>600</c:v>
                </c:pt>
                <c:pt idx="3">
                  <c:v>100</c:v>
                </c:pt>
                <c:pt idx="4">
                  <c:v>92</c:v>
                </c:pt>
                <c:pt idx="5">
                  <c:v>148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B3-44CD-8CA9-EC79446FF1CB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[Budget_Expense_Variance_Tracker.xlsx]Pivot_Data!PivotTable4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Variance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0.1"/>
              <c:y val="-4.2437781360066642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Pivot_Data!$B$22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0.1"/>
                  <c:y val="-4.2437781360066642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CE9-47E2-BDFC-7B464EF999B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Pivot_Data!$A$23:$A$30</c:f>
              <c:strCache>
                <c:ptCount val="7"/>
                <c:pt idx="0">
                  <c:v>Marketing</c:v>
                </c:pt>
                <c:pt idx="1">
                  <c:v>Payroll</c:v>
                </c:pt>
                <c:pt idx="2">
                  <c:v>Rent</c:v>
                </c:pt>
                <c:pt idx="3">
                  <c:v>Revenue</c:v>
                </c:pt>
                <c:pt idx="4">
                  <c:v>Software</c:v>
                </c:pt>
                <c:pt idx="5">
                  <c:v>Supplies</c:v>
                </c:pt>
                <c:pt idx="6">
                  <c:v>Utilities</c:v>
                </c:pt>
              </c:strCache>
            </c:strRef>
          </c:cat>
          <c:val>
            <c:numRef>
              <c:f>Pivot_Data!$B$23:$B$30</c:f>
              <c:numCache>
                <c:formatCode>_("$"* #,##0.00_);_("$"* \(#,##0.00\);_("$"* "-"??_);_(@_)</c:formatCode>
                <c:ptCount val="7"/>
                <c:pt idx="0">
                  <c:v>-35</c:v>
                </c:pt>
                <c:pt idx="1">
                  <c:v>44</c:v>
                </c:pt>
                <c:pt idx="2">
                  <c:v>0</c:v>
                </c:pt>
                <c:pt idx="3">
                  <c:v>53</c:v>
                </c:pt>
                <c:pt idx="4">
                  <c:v>0</c:v>
                </c:pt>
                <c:pt idx="5">
                  <c:v>17</c:v>
                </c:pt>
                <c:pt idx="6">
                  <c:v>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E9-47E2-BDFC-7B464EF999B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318869455"/>
        <c:axId val="1318853135"/>
      </c:barChart>
      <c:catAx>
        <c:axId val="131886945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8853135"/>
        <c:crosses val="autoZero"/>
        <c:auto val="1"/>
        <c:lblAlgn val="ctr"/>
        <c:lblOffset val="100"/>
        <c:noMultiLvlLbl val="0"/>
      </c:catAx>
      <c:valAx>
        <c:axId val="13188531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Variance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8869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160513</xdr:rowOff>
    </xdr:from>
    <xdr:to>
      <xdr:col>6</xdr:col>
      <xdr:colOff>7937</xdr:colOff>
      <xdr:row>25</xdr:row>
      <xdr:rowOff>65263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BF74B3-2C58-E8E4-C552-A2626CEF13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26</xdr:row>
      <xdr:rowOff>16757</xdr:rowOff>
    </xdr:from>
    <xdr:to>
      <xdr:col>6</xdr:col>
      <xdr:colOff>15875</xdr:colOff>
      <xdr:row>42</xdr:row>
      <xdr:rowOff>59619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64D0671-4C61-0BDE-171A-5B9E54134A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42</xdr:row>
      <xdr:rowOff>183093</xdr:rowOff>
    </xdr:from>
    <xdr:to>
      <xdr:col>6</xdr:col>
      <xdr:colOff>7937</xdr:colOff>
      <xdr:row>62</xdr:row>
      <xdr:rowOff>21167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A9D0B7D-688C-C185-D9ED-C1413807D0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elina McCain" refreshedDate="46135.87879490741" createdVersion="8" refreshedVersion="8" minRefreshableVersion="3" recordCount="7" xr:uid="{8E22E1D8-E765-457A-A19C-3B8BC34FBC1E}">
  <cacheSource type="worksheet">
    <worksheetSource name="Table1"/>
  </cacheSource>
  <cacheFields count="7">
    <cacheField name="Date" numFmtId="14">
      <sharedItems containsSemiMixedTypes="0" containsNonDate="0" containsDate="1" containsString="0" minDate="2026-01-01T00:00:00" maxDate="2026-01-16T00:00:00"/>
    </cacheField>
    <cacheField name="Category" numFmtId="0">
      <sharedItems count="7">
        <s v="Revenue"/>
        <s v="Payroll"/>
        <s v="Rent"/>
        <s v="Marketing"/>
        <s v="Software"/>
        <s v="Utilities"/>
        <s v="Supplies"/>
      </sharedItems>
    </cacheField>
    <cacheField name="Description" numFmtId="0">
      <sharedItems count="7">
        <s v="Monthly service revenue"/>
        <s v="Staff payroll"/>
        <s v="Office lease"/>
        <s v="TV ads"/>
        <s v="EVV system"/>
        <s v="Internet/phone"/>
        <s v="Office supplies"/>
      </sharedItems>
    </cacheField>
    <cacheField name="Budgeted Amount" numFmtId="2">
      <sharedItems containsSemiMixedTypes="0" containsString="0" containsNumber="1" containsInteger="1" minValue="75" maxValue="3200"/>
    </cacheField>
    <cacheField name="Actual Amount" numFmtId="2">
      <sharedItems containsSemiMixedTypes="0" containsString="0" containsNumber="1" containsInteger="1" minValue="92" maxValue="3253"/>
    </cacheField>
    <cacheField name="Variance" numFmtId="2">
      <sharedItems containsSemiMixedTypes="0" containsString="0" containsNumber="1" containsInteger="1" minValue="-35" maxValue="53"/>
    </cacheField>
    <cacheField name="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d v="2026-01-01T00:00:00"/>
    <x v="0"/>
    <x v="0"/>
    <n v="3200"/>
    <n v="3253"/>
    <n v="53"/>
    <s v="Over Budget"/>
  </r>
  <r>
    <d v="2026-01-03T00:00:00"/>
    <x v="1"/>
    <x v="1"/>
    <n v="1900"/>
    <n v="1944"/>
    <n v="44"/>
    <s v="Over Budget"/>
  </r>
  <r>
    <d v="2026-01-05T00:00:00"/>
    <x v="2"/>
    <x v="2"/>
    <n v="600"/>
    <n v="600"/>
    <n v="0"/>
    <s v="On Budget"/>
  </r>
  <r>
    <d v="2026-01-05T00:00:00"/>
    <x v="3"/>
    <x v="3"/>
    <n v="1500"/>
    <n v="1465"/>
    <n v="-35"/>
    <s v="Under Budget"/>
  </r>
  <r>
    <d v="2026-01-08T00:00:00"/>
    <x v="4"/>
    <x v="4"/>
    <n v="100"/>
    <n v="100"/>
    <n v="0"/>
    <s v="On Budget"/>
  </r>
  <r>
    <d v="2026-01-10T00:00:00"/>
    <x v="5"/>
    <x v="5"/>
    <n v="150"/>
    <n v="148"/>
    <n v="-2"/>
    <s v="Under Budget"/>
  </r>
  <r>
    <d v="2026-01-15T00:00:00"/>
    <x v="6"/>
    <x v="6"/>
    <n v="75"/>
    <n v="92"/>
    <n v="17"/>
    <s v="Over Budget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28A6ED-0D9E-4E75-B9D8-FEFB9F919814}" name="PivotTable4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Category">
  <location ref="A22:B30" firstHeaderRow="1" firstDataRow="1" firstDataCol="1"/>
  <pivotFields count="7">
    <pivotField numFmtId="14" showAll="0"/>
    <pivotField axis="axisRow" showAll="0">
      <items count="8">
        <item x="3"/>
        <item x="1"/>
        <item x="2"/>
        <item x="0"/>
        <item x="4"/>
        <item x="6"/>
        <item x="5"/>
        <item t="default"/>
      </items>
    </pivotField>
    <pivotField showAll="0"/>
    <pivotField numFmtId="2" showAll="0"/>
    <pivotField numFmtId="2" showAll="0"/>
    <pivotField dataField="1" numFmtId="2" showAll="0"/>
    <pivotField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Variance" fld="5" baseField="0" baseItem="0" numFmtId="44"/>
  </dataFields>
  <formats count="1">
    <format dxfId="0">
      <pivotArea outline="0" collapsedLevelsAreSubtotals="1" fieldPosition="0"/>
    </format>
  </format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0B13D8-3B8A-4268-B0BD-0E676B609936}" name="PivotTable3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Category">
  <location ref="A12:B19" firstHeaderRow="1" firstDataRow="1" firstDataCol="1"/>
  <pivotFields count="7">
    <pivotField numFmtId="14" showAll="0"/>
    <pivotField axis="axisRow" showAll="0">
      <items count="8">
        <item x="3"/>
        <item x="1"/>
        <item x="2"/>
        <item h="1" x="0"/>
        <item x="4"/>
        <item x="6"/>
        <item x="5"/>
        <item t="default"/>
      </items>
    </pivotField>
    <pivotField showAll="0"/>
    <pivotField numFmtId="2" showAll="0"/>
    <pivotField dataField="1" numFmtId="2" showAll="0"/>
    <pivotField numFmtId="2" showAll="0"/>
    <pivotField showAll="0"/>
  </pivotFields>
  <rowFields count="1">
    <field x="1"/>
  </rowFields>
  <rowItems count="7">
    <i>
      <x/>
    </i>
    <i>
      <x v="1"/>
    </i>
    <i>
      <x v="2"/>
    </i>
    <i>
      <x v="4"/>
    </i>
    <i>
      <x v="5"/>
    </i>
    <i>
      <x v="6"/>
    </i>
    <i t="grand">
      <x/>
    </i>
  </rowItems>
  <colItems count="1">
    <i/>
  </colItems>
  <dataFields count="1">
    <dataField name="Actual Expense" fld="4" baseField="1" baseItem="0" numFmtId="44"/>
  </dataFields>
  <formats count="1">
    <format dxfId="1">
      <pivotArea outline="0" collapsedLevelsAreSubtotals="1" fieldPosition="0"/>
    </format>
  </format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473B8A-DC3A-4EBB-8563-14F0CF73D09D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 rowHeaderCaption="Category">
  <location ref="A1:C9" firstHeaderRow="0" firstDataRow="1" firstDataCol="1"/>
  <pivotFields count="7">
    <pivotField numFmtId="14" showAll="0"/>
    <pivotField axis="axisRow" showAll="0">
      <items count="8">
        <item x="0"/>
        <item x="3"/>
        <item x="1"/>
        <item x="2"/>
        <item x="4"/>
        <item x="6"/>
        <item x="5"/>
        <item t="default"/>
      </items>
    </pivotField>
    <pivotField showAll="0"/>
    <pivotField dataField="1" numFmtId="2" showAll="0"/>
    <pivotField dataField="1" numFmtId="2" showAll="0"/>
    <pivotField numFmtId="2" showAll="0"/>
    <pivotField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Budgeted" fld="3" baseField="1" baseItem="0" numFmtId="2"/>
    <dataField name="Actual" fld="4" baseField="1" baseItem="0" numFmtId="2"/>
  </dataFields>
  <formats count="3">
    <format dxfId="10">
      <pivotArea collapsedLevelsAreSubtotals="1" fieldPosition="0">
        <references count="2">
          <reference field="4294967294" count="1" selected="0">
            <x v="0"/>
          </reference>
          <reference field="1" count="0"/>
        </references>
      </pivotArea>
    </format>
    <format dxfId="9">
      <pivotArea collapsedLevelsAreSubtotals="1" fieldPosition="0">
        <references count="2">
          <reference field="4294967294" count="1" selected="0">
            <x v="1"/>
          </reference>
          <reference field="1" count="0"/>
        </references>
      </pivotArea>
    </format>
    <format dxfId="8">
      <pivotArea grandRow="1" outline="0" collapsedLevelsAreSubtotals="1" fieldPosition="0"/>
    </format>
  </format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7F70F01-6E93-43E1-A57D-B11917C64E56}" name="Table1" displayName="Table1" ref="A1:G8" totalsRowShown="0">
  <autoFilter ref="A1:G8" xr:uid="{A7F70F01-6E93-43E1-A57D-B11917C64E56}"/>
  <sortState xmlns:xlrd2="http://schemas.microsoft.com/office/spreadsheetml/2017/richdata2" ref="A2:G8">
    <sortCondition ref="A1:A8"/>
  </sortState>
  <tableColumns count="7">
    <tableColumn id="1" xr3:uid="{8378D7C3-FF5F-445B-B5F7-4A16A94D1BF5}" name="Date"/>
    <tableColumn id="7" xr3:uid="{41437BBE-0AE7-4F05-8076-28F693B78E3A}" name="Category"/>
    <tableColumn id="6" xr3:uid="{932301C1-7765-4FCB-9D1E-71D4605D5D9D}" name="Description"/>
    <tableColumn id="5" xr3:uid="{66DD9E87-583E-4A58-84A0-F817C4621440}" name="Budgeted Amount" dataCellStyle="Currency"/>
    <tableColumn id="4" xr3:uid="{F8ADEFFD-992F-43D6-9767-DE6A5D06AACF}" name="Actual Amount" dataCellStyle="Currency"/>
    <tableColumn id="3" xr3:uid="{BE4D58A8-3373-47BB-934A-F774EA80675B}" name="Variance" dataCellStyle="Currency">
      <calculatedColumnFormula>E2-D2</calculatedColumnFormula>
    </tableColumn>
    <tableColumn id="2" xr3:uid="{2E8C5A8C-6FC7-43BC-BEBC-B8319712C93E}" name="Status" dataDxfId="14">
      <calculatedColumnFormula>IF(F2&gt;0,"Over Budget",IF(F2&lt;0,"Under Budget","On Budget"))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7903158-C61D-407F-BA70-366F93A8F36B}" name="Table2" displayName="Table2" ref="A1:B8" totalsRowShown="0">
  <autoFilter ref="A1:B8" xr:uid="{77903158-C61D-407F-BA70-366F93A8F36B}"/>
  <tableColumns count="2">
    <tableColumn id="1" xr3:uid="{D6A119A2-7082-4552-99BF-2B3975152B16}" name="Metric"/>
    <tableColumn id="2" xr3:uid="{3E4FB070-5A60-4364-966D-C5EA0C80D8A2}" name="Amount" dataDxfId="13">
      <calculatedColumnFormula>SUMIF(Transactions!B1:B99,"Revenue",Transactions!E1:E99)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0086741-6CA7-4E74-B6C4-0C26D82CE507}" name="Table4" displayName="Table4" ref="A1:B5" totalsRowShown="0">
  <autoFilter ref="A1:B5" xr:uid="{B0086741-6CA7-4E74-B6C4-0C26D82CE507}"/>
  <tableColumns count="2">
    <tableColumn id="1" xr3:uid="{CE7A1AEB-29D5-4E03-A1C9-5B7AB3106C4E}" name="KPI" dataDxfId="11"/>
    <tableColumn id="2" xr3:uid="{35892D0A-F15B-472C-ACC2-9B4E003C407A}" name="Value" dataDxfId="12" dataCellStyle="Currenc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28D9F-BF25-40EF-8634-E4B7BD24EF31}">
  <dimension ref="A1:G8"/>
  <sheetViews>
    <sheetView topLeftCell="C1" workbookViewId="0">
      <selection activeCell="F1" sqref="F1:F1048576"/>
    </sheetView>
  </sheetViews>
  <sheetFormatPr defaultRowHeight="14.5" x14ac:dyDescent="0.35"/>
  <cols>
    <col min="1" max="2" width="10.453125" customWidth="1"/>
    <col min="3" max="3" width="20.36328125" bestFit="1" customWidth="1"/>
    <col min="4" max="4" width="18" style="5" bestFit="1" customWidth="1"/>
    <col min="5" max="5" width="15.453125" style="5" bestFit="1" customWidth="1"/>
    <col min="6" max="6" width="10.453125" style="5" customWidth="1"/>
    <col min="7" max="7" width="11.7265625" bestFit="1" customWidth="1"/>
  </cols>
  <sheetData>
    <row r="1" spans="1:7" x14ac:dyDescent="0.35">
      <c r="A1" t="s">
        <v>0</v>
      </c>
      <c r="B1" t="s">
        <v>1</v>
      </c>
      <c r="C1" t="s">
        <v>2</v>
      </c>
      <c r="D1" s="5" t="s">
        <v>3</v>
      </c>
      <c r="E1" s="5" t="s">
        <v>4</v>
      </c>
      <c r="F1" s="5" t="s">
        <v>5</v>
      </c>
      <c r="G1" t="s">
        <v>6</v>
      </c>
    </row>
    <row r="2" spans="1:7" x14ac:dyDescent="0.35">
      <c r="A2" s="1">
        <v>46023</v>
      </c>
      <c r="B2" t="s">
        <v>13</v>
      </c>
      <c r="C2" t="s">
        <v>14</v>
      </c>
      <c r="D2" s="5">
        <v>3200</v>
      </c>
      <c r="E2" s="5">
        <v>3253</v>
      </c>
      <c r="F2" s="5">
        <f>E2-D2</f>
        <v>53</v>
      </c>
      <c r="G2" t="str">
        <f>IF(F2&gt;0,"Over Budget",IF(F2&lt;0,"Under Budget","On Budget"))</f>
        <v>Over Budget</v>
      </c>
    </row>
    <row r="3" spans="1:7" x14ac:dyDescent="0.35">
      <c r="A3" s="1">
        <v>46025</v>
      </c>
      <c r="B3" t="s">
        <v>8</v>
      </c>
      <c r="C3" t="s">
        <v>16</v>
      </c>
      <c r="D3" s="5">
        <v>1900</v>
      </c>
      <c r="E3" s="5">
        <v>1944</v>
      </c>
      <c r="F3" s="5">
        <f>E3-D3</f>
        <v>44</v>
      </c>
      <c r="G3" t="str">
        <f>IF(F3&gt;0,"Over Budget",IF(F3&lt;0,"Under Budget","On Budget"))</f>
        <v>Over Budget</v>
      </c>
    </row>
    <row r="4" spans="1:7" x14ac:dyDescent="0.35">
      <c r="A4" s="1">
        <v>46027</v>
      </c>
      <c r="B4" t="s">
        <v>7</v>
      </c>
      <c r="C4" t="s">
        <v>15</v>
      </c>
      <c r="D4" s="5">
        <v>600</v>
      </c>
      <c r="E4" s="5">
        <v>600</v>
      </c>
      <c r="F4" s="5">
        <f>E4-D4</f>
        <v>0</v>
      </c>
      <c r="G4" t="str">
        <f>IF(F4&gt;0,"Over Budget",IF(F4&lt;0,"Under Budget","On Budget"))</f>
        <v>On Budget</v>
      </c>
    </row>
    <row r="5" spans="1:7" x14ac:dyDescent="0.35">
      <c r="A5" s="1">
        <v>46027</v>
      </c>
      <c r="B5" t="s">
        <v>11</v>
      </c>
      <c r="C5" t="s">
        <v>20</v>
      </c>
      <c r="D5" s="5">
        <v>1500</v>
      </c>
      <c r="E5" s="5">
        <v>1465</v>
      </c>
      <c r="F5" s="5">
        <f>E5-D5</f>
        <v>-35</v>
      </c>
      <c r="G5" t="str">
        <f>IF(F5&gt;0,"Over Budget",IF(F5&lt;0,"Under Budget","On Budget"))</f>
        <v>Under Budget</v>
      </c>
    </row>
    <row r="6" spans="1:7" x14ac:dyDescent="0.35">
      <c r="A6" s="1">
        <v>46030</v>
      </c>
      <c r="B6" t="s">
        <v>10</v>
      </c>
      <c r="C6" t="s">
        <v>18</v>
      </c>
      <c r="D6" s="5">
        <v>100</v>
      </c>
      <c r="E6" s="5">
        <v>100</v>
      </c>
      <c r="F6" s="5">
        <f>E6-D6</f>
        <v>0</v>
      </c>
      <c r="G6" t="str">
        <f>IF(F6&gt;0,"Over Budget",IF(F6&lt;0,"Under Budget","On Budget"))</f>
        <v>On Budget</v>
      </c>
    </row>
    <row r="7" spans="1:7" x14ac:dyDescent="0.35">
      <c r="A7" s="1">
        <v>46032</v>
      </c>
      <c r="B7" t="s">
        <v>9</v>
      </c>
      <c r="C7" t="s">
        <v>17</v>
      </c>
      <c r="D7" s="5">
        <v>150</v>
      </c>
      <c r="E7" s="5">
        <v>148</v>
      </c>
      <c r="F7" s="5">
        <f>E7-D7</f>
        <v>-2</v>
      </c>
      <c r="G7" t="str">
        <f>IF(F7&gt;0,"Over Budget",IF(F7&lt;0,"Under Budget","On Budget"))</f>
        <v>Under Budget</v>
      </c>
    </row>
    <row r="8" spans="1:7" x14ac:dyDescent="0.35">
      <c r="A8" s="1">
        <v>46037</v>
      </c>
      <c r="B8" t="s">
        <v>12</v>
      </c>
      <c r="C8" t="s">
        <v>19</v>
      </c>
      <c r="D8" s="5">
        <v>75</v>
      </c>
      <c r="E8" s="5">
        <v>92</v>
      </c>
      <c r="F8" s="5">
        <f>E8-D8</f>
        <v>17</v>
      </c>
      <c r="G8" t="str">
        <f>IF(F8&gt;0,"Over Budget",IF(F8&lt;0,"Under Budget","On Budget"))</f>
        <v>Over Budget</v>
      </c>
    </row>
  </sheetData>
  <pageMargins left="0.7" right="0.7" top="0.75" bottom="0.75" header="0.3" footer="0.3"/>
  <pageSetup paperSize="0" orientation="portrait" horizontalDpi="300" verticalDpi="3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1C87B-16CF-4F35-81F5-59BC801CF87A}">
  <dimension ref="A1:B8"/>
  <sheetViews>
    <sheetView workbookViewId="0">
      <selection activeCell="B9" sqref="B9"/>
    </sheetView>
  </sheetViews>
  <sheetFormatPr defaultRowHeight="14.5" x14ac:dyDescent="0.35"/>
  <cols>
    <col min="1" max="1" width="20.26953125" bestFit="1" customWidth="1"/>
    <col min="2" max="2" width="46.36328125" bestFit="1" customWidth="1"/>
  </cols>
  <sheetData>
    <row r="1" spans="1:2" x14ac:dyDescent="0.35">
      <c r="A1" t="s">
        <v>21</v>
      </c>
      <c r="B1" t="s">
        <v>22</v>
      </c>
    </row>
    <row r="2" spans="1:2" x14ac:dyDescent="0.35">
      <c r="A2" t="s">
        <v>23</v>
      </c>
      <c r="B2">
        <f>SUMIF(Transactions!B1:B99,"Revenue",Transactions!E1:E99)</f>
        <v>3253</v>
      </c>
    </row>
    <row r="3" spans="1:2" x14ac:dyDescent="0.35">
      <c r="A3" t="s">
        <v>24</v>
      </c>
      <c r="B3">
        <f>SUMIF(Transactions!B2:B100,"Revenue",Transactions!E2:E100)</f>
        <v>3253</v>
      </c>
    </row>
    <row r="4" spans="1:2" x14ac:dyDescent="0.35">
      <c r="A4" t="s">
        <v>25</v>
      </c>
      <c r="B4">
        <f>SUMIF(Transactions!B2:B100,"&lt;&gt;Revenue",Transactions!D2:D100)</f>
        <v>4325</v>
      </c>
    </row>
    <row r="5" spans="1:2" x14ac:dyDescent="0.35">
      <c r="A5" t="s">
        <v>26</v>
      </c>
      <c r="B5">
        <f>SUMIF(Transactions!B2:B100,"&lt;&gt;Revenue",Transactions!E2:E100)</f>
        <v>4349</v>
      </c>
    </row>
    <row r="6" spans="1:2" x14ac:dyDescent="0.35">
      <c r="A6" t="s">
        <v>27</v>
      </c>
      <c r="B6">
        <f>B2-B4</f>
        <v>-1072</v>
      </c>
    </row>
    <row r="7" spans="1:2" x14ac:dyDescent="0.35">
      <c r="A7" t="s">
        <v>28</v>
      </c>
      <c r="B7">
        <f>B3-B5</f>
        <v>-1096</v>
      </c>
    </row>
    <row r="8" spans="1:2" x14ac:dyDescent="0.35">
      <c r="A8" t="s">
        <v>29</v>
      </c>
      <c r="B8">
        <f>B3-B2</f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F27B8-82AF-432F-94A6-13067F891F35}">
  <dimension ref="A1:G5"/>
  <sheetViews>
    <sheetView tabSelected="1" zoomScale="90" zoomScaleNormal="90" workbookViewId="0">
      <selection activeCell="B1" sqref="B1:B1048576"/>
    </sheetView>
  </sheetViews>
  <sheetFormatPr defaultRowHeight="14.5" x14ac:dyDescent="0.35"/>
  <cols>
    <col min="1" max="1" width="14.453125" style="3" bestFit="1" customWidth="1"/>
    <col min="2" max="2" width="10.81640625" style="7" bestFit="1" customWidth="1"/>
    <col min="3" max="3" width="7.7265625" bestFit="1" customWidth="1"/>
    <col min="5" max="5" width="12.453125" bestFit="1" customWidth="1"/>
    <col min="6" max="6" width="11.36328125" bestFit="1" customWidth="1"/>
    <col min="7" max="7" width="14" bestFit="1" customWidth="1"/>
  </cols>
  <sheetData>
    <row r="1" spans="1:7" x14ac:dyDescent="0.35">
      <c r="A1" s="3" t="s">
        <v>35</v>
      </c>
      <c r="B1" s="7" t="s">
        <v>36</v>
      </c>
    </row>
    <row r="2" spans="1:7" x14ac:dyDescent="0.35">
      <c r="A2" s="3" t="s">
        <v>37</v>
      </c>
      <c r="B2" s="7">
        <v>3253</v>
      </c>
      <c r="C2" s="4"/>
      <c r="F2" s="4"/>
      <c r="G2" s="4"/>
    </row>
    <row r="3" spans="1:7" x14ac:dyDescent="0.35">
      <c r="A3" s="3" t="s">
        <v>38</v>
      </c>
      <c r="B3" s="7">
        <v>4349</v>
      </c>
    </row>
    <row r="4" spans="1:7" x14ac:dyDescent="0.35">
      <c r="A4" s="3" t="s">
        <v>39</v>
      </c>
      <c r="B4" s="7">
        <v>-1096</v>
      </c>
    </row>
    <row r="5" spans="1:7" x14ac:dyDescent="0.35">
      <c r="A5" s="3" t="s">
        <v>40</v>
      </c>
      <c r="B5" s="7">
        <v>77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0D839-4F63-40A2-9BB0-7AFC6B53BD26}">
  <dimension ref="A1:C30"/>
  <sheetViews>
    <sheetView topLeftCell="A12" workbookViewId="0">
      <selection activeCell="B23" sqref="B23:B30"/>
    </sheetView>
  </sheetViews>
  <sheetFormatPr defaultRowHeight="14.5" x14ac:dyDescent="0.35"/>
  <cols>
    <col min="1" max="1" width="10.453125" bestFit="1" customWidth="1"/>
    <col min="2" max="2" width="14.453125" bestFit="1" customWidth="1"/>
    <col min="3" max="3" width="10.1796875" bestFit="1" customWidth="1"/>
    <col min="6" max="6" width="10.453125" bestFit="1" customWidth="1"/>
    <col min="7" max="7" width="13.6328125" bestFit="1" customWidth="1"/>
  </cols>
  <sheetData>
    <row r="1" spans="1:3" x14ac:dyDescent="0.35">
      <c r="A1" s="2" t="s">
        <v>1</v>
      </c>
      <c r="B1" t="s">
        <v>32</v>
      </c>
      <c r="C1" t="s">
        <v>33</v>
      </c>
    </row>
    <row r="2" spans="1:3" x14ac:dyDescent="0.35">
      <c r="A2" s="3" t="s">
        <v>13</v>
      </c>
      <c r="B2" s="6">
        <v>3200</v>
      </c>
      <c r="C2" s="6">
        <v>3253</v>
      </c>
    </row>
    <row r="3" spans="1:3" x14ac:dyDescent="0.35">
      <c r="A3" s="3" t="s">
        <v>11</v>
      </c>
      <c r="B3" s="6">
        <v>1500</v>
      </c>
      <c r="C3" s="6">
        <v>1465</v>
      </c>
    </row>
    <row r="4" spans="1:3" x14ac:dyDescent="0.35">
      <c r="A4" s="3" t="s">
        <v>8</v>
      </c>
      <c r="B4" s="6">
        <v>1900</v>
      </c>
      <c r="C4" s="6">
        <v>1944</v>
      </c>
    </row>
    <row r="5" spans="1:3" x14ac:dyDescent="0.35">
      <c r="A5" s="3" t="s">
        <v>7</v>
      </c>
      <c r="B5" s="6">
        <v>600</v>
      </c>
      <c r="C5" s="6">
        <v>600</v>
      </c>
    </row>
    <row r="6" spans="1:3" x14ac:dyDescent="0.35">
      <c r="A6" s="3" t="s">
        <v>10</v>
      </c>
      <c r="B6" s="6">
        <v>100</v>
      </c>
      <c r="C6" s="6">
        <v>100</v>
      </c>
    </row>
    <row r="7" spans="1:3" x14ac:dyDescent="0.35">
      <c r="A7" s="3" t="s">
        <v>12</v>
      </c>
      <c r="B7" s="6">
        <v>75</v>
      </c>
      <c r="C7" s="6">
        <v>92</v>
      </c>
    </row>
    <row r="8" spans="1:3" x14ac:dyDescent="0.35">
      <c r="A8" s="3" t="s">
        <v>9</v>
      </c>
      <c r="B8" s="6">
        <v>150</v>
      </c>
      <c r="C8" s="6">
        <v>148</v>
      </c>
    </row>
    <row r="9" spans="1:3" x14ac:dyDescent="0.35">
      <c r="A9" s="3" t="s">
        <v>30</v>
      </c>
      <c r="B9" s="6">
        <v>7525</v>
      </c>
      <c r="C9" s="6">
        <v>7602</v>
      </c>
    </row>
    <row r="12" spans="1:3" x14ac:dyDescent="0.35">
      <c r="A12" s="2" t="s">
        <v>1</v>
      </c>
      <c r="B12" t="s">
        <v>34</v>
      </c>
    </row>
    <row r="13" spans="1:3" x14ac:dyDescent="0.35">
      <c r="A13" s="3" t="s">
        <v>11</v>
      </c>
      <c r="B13" s="6">
        <v>1465</v>
      </c>
    </row>
    <row r="14" spans="1:3" x14ac:dyDescent="0.35">
      <c r="A14" s="3" t="s">
        <v>8</v>
      </c>
      <c r="B14" s="6">
        <v>1944</v>
      </c>
    </row>
    <row r="15" spans="1:3" x14ac:dyDescent="0.35">
      <c r="A15" s="3" t="s">
        <v>7</v>
      </c>
      <c r="B15" s="6">
        <v>600</v>
      </c>
    </row>
    <row r="16" spans="1:3" x14ac:dyDescent="0.35">
      <c r="A16" s="3" t="s">
        <v>10</v>
      </c>
      <c r="B16" s="6">
        <v>100</v>
      </c>
    </row>
    <row r="17" spans="1:2" x14ac:dyDescent="0.35">
      <c r="A17" s="3" t="s">
        <v>12</v>
      </c>
      <c r="B17" s="6">
        <v>92</v>
      </c>
    </row>
    <row r="18" spans="1:2" x14ac:dyDescent="0.35">
      <c r="A18" s="3" t="s">
        <v>9</v>
      </c>
      <c r="B18" s="6">
        <v>148</v>
      </c>
    </row>
    <row r="19" spans="1:2" x14ac:dyDescent="0.35">
      <c r="A19" s="3" t="s">
        <v>30</v>
      </c>
      <c r="B19" s="6">
        <v>4349</v>
      </c>
    </row>
    <row r="22" spans="1:2" x14ac:dyDescent="0.35">
      <c r="A22" s="2" t="s">
        <v>1</v>
      </c>
      <c r="B22" t="s">
        <v>31</v>
      </c>
    </row>
    <row r="23" spans="1:2" x14ac:dyDescent="0.35">
      <c r="A23" s="3" t="s">
        <v>11</v>
      </c>
      <c r="B23" s="6">
        <v>-35</v>
      </c>
    </row>
    <row r="24" spans="1:2" x14ac:dyDescent="0.35">
      <c r="A24" s="3" t="s">
        <v>8</v>
      </c>
      <c r="B24" s="6">
        <v>44</v>
      </c>
    </row>
    <row r="25" spans="1:2" x14ac:dyDescent="0.35">
      <c r="A25" s="3" t="s">
        <v>7</v>
      </c>
      <c r="B25" s="6">
        <v>0</v>
      </c>
    </row>
    <row r="26" spans="1:2" x14ac:dyDescent="0.35">
      <c r="A26" s="3" t="s">
        <v>13</v>
      </c>
      <c r="B26" s="6">
        <v>53</v>
      </c>
    </row>
    <row r="27" spans="1:2" x14ac:dyDescent="0.35">
      <c r="A27" s="3" t="s">
        <v>10</v>
      </c>
      <c r="B27" s="6">
        <v>0</v>
      </c>
    </row>
    <row r="28" spans="1:2" x14ac:dyDescent="0.35">
      <c r="A28" s="3" t="s">
        <v>12</v>
      </c>
      <c r="B28" s="6">
        <v>17</v>
      </c>
    </row>
    <row r="29" spans="1:2" x14ac:dyDescent="0.35">
      <c r="A29" s="3" t="s">
        <v>9</v>
      </c>
      <c r="B29" s="6">
        <v>-2</v>
      </c>
    </row>
    <row r="30" spans="1:2" x14ac:dyDescent="0.35">
      <c r="A30" s="3" t="s">
        <v>30</v>
      </c>
      <c r="B30" s="6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Transactions</vt:lpstr>
      <vt:lpstr>Summary</vt:lpstr>
      <vt:lpstr>Dashboard</vt:lpstr>
      <vt:lpstr>Pivot_Data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Celina McCain</dc:creator>
  <cp:lastModifiedBy>Celina McCain</cp:lastModifiedBy>
  <dcterms:created xsi:type="dcterms:W3CDTF">2026-04-24T01:35:19Z</dcterms:created>
  <dcterms:modified xsi:type="dcterms:W3CDTF">2026-04-24T02:48:08Z</dcterms:modified>
</cp:coreProperties>
</file>